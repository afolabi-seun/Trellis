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<sst xmlns="http://schemas.openxmlformats.org/spreadsheetml/2006/main" count="132" uniqueCount="80">
  <si>
    <t xml:space="preserve">Trellis — Outreach Summary</t>
  </si>
  <si>
    <t xml:space="preserve">Auto-calculated from the Tracker tab — do not edit these cells directly.</t>
  </si>
  <si>
    <t xml:space="preserve">Status</t>
  </si>
  <si>
    <t xml:space="preserve">Count</t>
  </si>
  <si>
    <t xml:space="preserve">Not Contacted</t>
  </si>
  <si>
    <t xml:space="preserve">Contacted</t>
  </si>
  <si>
    <t xml:space="preserve">Meeting Booked</t>
  </si>
  <si>
    <t xml:space="preserve">Meeting Complete</t>
  </si>
  <si>
    <t xml:space="preserve">Design Partner</t>
  </si>
  <si>
    <t xml:space="preserve">Declined</t>
  </si>
  <si>
    <t xml:space="preserve">Total in pipeline</t>
  </si>
  <si>
    <t xml:space="preserve">Average interest level (meetings held)</t>
  </si>
  <si>
    <t xml:space="preserve">Channels worth pursuing beyond the researched list</t>
  </si>
  <si>
    <t xml:space="preserve">• NAMA (National Association of Managing Agents, South Africa) — 400+ managing agent members; directory is login-gated, but worth a direct email to ask about introductions or attending a regional event (nama.org.za).</t>
  </si>
  <si>
    <t xml:space="preserve">• LinkedIn search: "managing agent" / "portfolio manager" / "property manager" filtered to South Africa and Kenya — most of the smaller firms below don't have a strong web presence, so LinkedIn is likely faster than their websites.</t>
  </si>
  <si>
    <t xml:space="preserve">• Ask each contact you do reach Q18 ("who else should we be talking to") — referrals inside this industry tend to be warmer than cold outreach.</t>
  </si>
  <si>
    <t xml:space="preserve">Trellis — Target List &amp; Outreach Tracker</t>
  </si>
  <si>
    <t xml:space="preserve">Legend: columns A–I (grey) are real companies found via web research (South Africa and Kenya, September 2026) — verify portfolio size, the right contact, and current details before reaching out; none of this is confirmed first-hand. Columns J–O (yellow) are for you to fill in and update as outreach progresses. Rows 19+ are blank — add more targets there as you find them (including your own network and referrals). "Priority": High = mid-sized, likely nimble; Medium = worth trying; Stretch = larger/enterprise firms with longer sales cycles, useful for credibility later. "Outreach Status" and "Interest Level" use dropdown lists.</t>
  </si>
  <si>
    <t xml:space="preserve">Company Name</t>
  </si>
  <si>
    <t xml:space="preserve">Region</t>
  </si>
  <si>
    <t xml:space="preserve">Website</t>
  </si>
  <si>
    <t xml:space="preserve">Portfolio Size (est. units)</t>
  </si>
  <si>
    <t xml:space="preserve">Contact Name</t>
  </si>
  <si>
    <t xml:space="preserve">Contact Email / Phone</t>
  </si>
  <si>
    <t xml:space="preserve">Priority</t>
  </si>
  <si>
    <t xml:space="preserve">Notes (what they do)</t>
  </si>
  <si>
    <t xml:space="preserve">Source</t>
  </si>
  <si>
    <t xml:space="preserve">Outreach Status</t>
  </si>
  <si>
    <t xml:space="preserve">Meeting Date</t>
  </si>
  <si>
    <t xml:space="preserve">Interest Level (1–5)</t>
  </si>
  <si>
    <t xml:space="preserve">Key Quotes / Notes (post-call)</t>
  </si>
  <si>
    <t xml:space="preserve">Next Action</t>
  </si>
  <si>
    <t xml:space="preserve">Next Action Date</t>
  </si>
  <si>
    <t xml:space="preserve">Trafalgar Property Management</t>
  </si>
  <si>
    <t xml:space="preserve">South Africa</t>
  </si>
  <si>
    <t xml:space="preserve">trafalgar.co.za</t>
  </si>
  <si>
    <t xml:space="preserve">High</t>
  </si>
  <si>
    <t xml:space="preserve">Established sectional title &amp; rental portfolio manager operating nationally; also manages non-sectional rental portfolios for owners.</t>
  </si>
  <si>
    <t xml:space="preserve">Web research, Sep 2026</t>
  </si>
  <si>
    <t xml:space="preserve">Steer Property Group</t>
  </si>
  <si>
    <t xml:space="preserve">steer.co.za</t>
  </si>
  <si>
    <t xml:space="preserve">Sectional title management specialist.</t>
  </si>
  <si>
    <t xml:space="preserve">Natal Property Consultants</t>
  </si>
  <si>
    <t xml:space="preserve">South Africa (KwaZulu-Natal)</t>
  </si>
  <si>
    <t xml:space="preserve">natalproperty.co.za</t>
  </si>
  <si>
    <t xml:space="preserve">Medium</t>
  </si>
  <si>
    <t xml:space="preserve">Regional sectional title management specialist based in KZN.</t>
  </si>
  <si>
    <t xml:space="preserve">SL Trust (Sectional Title Trust)</t>
  </si>
  <si>
    <t xml:space="preserve">sltrust.co.za</t>
  </si>
  <si>
    <t xml:space="preserve">Sectional title managing agents.</t>
  </si>
  <si>
    <t xml:space="preserve">Broll Property Group</t>
  </si>
  <si>
    <t xml:space="preserve">South Africa (national + pan-African)</t>
  </si>
  <si>
    <t xml:space="preserve">broll.com</t>
  </si>
  <si>
    <t xml:space="preserve">Stretch</t>
  </si>
  <si>
    <t xml:space="preserve">Large commercial/corporate property &amp; portfolio management firm; likely longer sales cycle and existing enterprise tools.</t>
  </si>
  <si>
    <t xml:space="preserve">Excellerate JHI</t>
  </si>
  <si>
    <t xml:space="preserve">excelleratejhi.com</t>
  </si>
  <si>
    <t xml:space="preserve">Large commercial/industrial portfolio management firm.</t>
  </si>
  <si>
    <t xml:space="preserve">Spire Property Solutions</t>
  </si>
  <si>
    <t xml:space="preserve">spire.co.za</t>
  </si>
  <si>
    <t xml:space="preserve">Commercial property management; has a dedicated National Head of Property Management role.</t>
  </si>
  <si>
    <t xml:space="preserve">Continuum Favour Properties</t>
  </si>
  <si>
    <t xml:space="preserve">Kenya (Nairobi)</t>
  </si>
  <si>
    <t xml:space="preserve">info@cfproperties.co.ke / 0707557711</t>
  </si>
  <si>
    <t xml:space="preserve">Property management, sales &amp; letting; direct contact found; appears smaller and more nimble.</t>
  </si>
  <si>
    <t xml:space="preserve">Myspace Properties</t>
  </si>
  <si>
    <t xml:space="preserve">info@myspace.co.ke / +254 734 555 556</t>
  </si>
  <si>
    <t xml:space="preserve">Full-service property management, development &amp; valuation; direct contact found.</t>
  </si>
  <si>
    <t xml:space="preserve">Tysons Limited</t>
  </si>
  <si>
    <t xml:space="preserve">Markets itself on "technology-driven solutions" — may be more receptive to a tech-forward pitch.</t>
  </si>
  <si>
    <t xml:space="preserve">Hillsgate Properties and Real Estate Ltd</t>
  </si>
  <si>
    <t xml:space="preserve">Apartment &amp; commercial space management, plus development and investment consulting.</t>
  </si>
  <si>
    <t xml:space="preserve">Pecle Investments</t>
  </si>
  <si>
    <t xml:space="preserve">Rent collection, tenant screening, maintenance, financial reporting, construction supervision.</t>
  </si>
  <si>
    <t xml:space="preserve">Villa Care Ltd</t>
  </si>
  <si>
    <t xml:space="preserve">Manages residential, commercial, and industrial properties.</t>
  </si>
  <si>
    <t xml:space="preserve">HassConsult</t>
  </si>
  <si>
    <t xml:space="preserve">Well-established Kenyan real estate firm, residential &amp; commercial.</t>
  </si>
  <si>
    <t xml:space="preserve">Knight Frank Kenya</t>
  </si>
  <si>
    <t xml:space="preserve">Kenyan arm of a global property brand; likely longer sales cycle, useful for credibility later.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</si>
</sst>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93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2"/>
      <color rgb="FF1E293B"/>
      <name val="Arial"/>
      <family val="0"/>
      <charset val="1"/>
    </font>
    <font>
      <sz val="10"/>
      <color rgb="FF3B4552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3F1EA"/>
        <bgColor rgb="FFFF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3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B4552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COUNTIF(Tracker!$J$4:$J$200,A5)</f>
        <v>15</v>
      </c>
    </row>
    <row r="6" customFormat="false" ht="15" hidden="false" customHeight="false" outlineLevel="0" collapsed="false">
      <c r="A6" s="4" t="s">
        <v>5</v>
      </c>
      <c r="B6" s="5" t="n">
        <f aca="false">COUNTIF(Tracker!$J$4:$J$200,A6)</f>
        <v>0</v>
      </c>
    </row>
    <row r="7" customFormat="false" ht="15" hidden="false" customHeight="false" outlineLevel="0" collapsed="false">
      <c r="A7" s="4" t="s">
        <v>6</v>
      </c>
      <c r="B7" s="5" t="n">
        <f aca="false">COUNTIF(Tracker!$J$4:$J$200,A7)</f>
        <v>0</v>
      </c>
    </row>
    <row r="8" customFormat="false" ht="15" hidden="false" customHeight="false" outlineLevel="0" collapsed="false">
      <c r="A8" s="4" t="s">
        <v>7</v>
      </c>
      <c r="B8" s="5" t="n">
        <f aca="false">COUNTIF(Tracker!$J$4:$J$200,A8)</f>
        <v>0</v>
      </c>
    </row>
    <row r="9" customFormat="false" ht="15" hidden="false" customHeight="false" outlineLevel="0" collapsed="false">
      <c r="A9" s="4" t="s">
        <v>8</v>
      </c>
      <c r="B9" s="5" t="n">
        <f aca="false">COUNTIF(Tracker!$J$4:$J$200,A9)</f>
        <v>0</v>
      </c>
    </row>
    <row r="10" customFormat="false" ht="15" hidden="false" customHeight="false" outlineLevel="0" collapsed="false">
      <c r="A10" s="4" t="s">
        <v>9</v>
      </c>
      <c r="B10" s="5" t="n">
        <f aca="false">COUNTIF(Tracker!$J$4:$J$200,A10)</f>
        <v>0</v>
      </c>
    </row>
    <row r="11" customFormat="false" ht="15" hidden="false" customHeight="false" outlineLevel="0" collapsed="false">
      <c r="A11" s="6" t="s">
        <v>10</v>
      </c>
      <c r="B11" s="6" t="n">
        <f aca="false">SUM(B5:B10)</f>
        <v>15</v>
      </c>
    </row>
    <row r="13" customFormat="false" ht="15" hidden="false" customHeight="false" outlineLevel="0" collapsed="false">
      <c r="A13" s="4" t="s">
        <v>11</v>
      </c>
      <c r="B13" s="5" t="str">
        <f aca="false">IFERROR(AVERAGEIF(Tracker!$J$4:$J$200,"Meeting Complete",Tracker!$L$4:$L$200),"-")</f>
        <v>-</v>
      </c>
    </row>
    <row r="16" customFormat="false" ht="15" hidden="false" customHeight="false" outlineLevel="0" collapsed="false">
      <c r="A16" s="7" t="s">
        <v>12</v>
      </c>
      <c r="B16" s="7"/>
    </row>
    <row r="17" customFormat="false" ht="31.5" hidden="false" customHeight="true" outlineLevel="0" collapsed="false">
      <c r="A17" s="8" t="s">
        <v>13</v>
      </c>
      <c r="B17" s="8"/>
      <c r="C17" s="8"/>
      <c r="D17" s="8"/>
      <c r="E17" s="8"/>
      <c r="F17" s="8"/>
    </row>
    <row r="18" customFormat="false" ht="31.5" hidden="false" customHeight="true" outlineLevel="0" collapsed="false">
      <c r="A18" s="8" t="s">
        <v>14</v>
      </c>
      <c r="B18" s="8"/>
      <c r="C18" s="8"/>
      <c r="D18" s="8"/>
      <c r="E18" s="8"/>
      <c r="F18" s="8"/>
    </row>
    <row r="19" customFormat="false" ht="31.5" hidden="false" customHeight="true" outlineLevel="0" collapsed="false">
      <c r="A19" s="8" t="s">
        <v>15</v>
      </c>
      <c r="B19" s="8"/>
      <c r="C19" s="8"/>
      <c r="D19" s="8"/>
      <c r="E19" s="8"/>
      <c r="F19" s="8"/>
    </row>
  </sheetData>
  <mergeCells count="4">
    <mergeCell ref="A16:B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24"/>
    <col collapsed="false" customWidth="true" hidden="false" outlineLevel="0" max="15" min="15" style="0" width="16"/>
  </cols>
  <sheetData>
    <row r="1" customFormat="false" ht="19.7" hidden="false" customHeight="false" outlineLevel="0" collapsed="false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customFormat="false" ht="60" hidden="false" customHeight="true" outlineLevel="0" collapsed="false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customFormat="false" ht="33.75" hidden="false" customHeight="true" outlineLevel="0" collapsed="false">
      <c r="A4" s="11" t="s">
        <v>18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25</v>
      </c>
      <c r="I4" s="11" t="s">
        <v>26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</row>
    <row r="5" customFormat="false" ht="46.25" hidden="false" customHeight="false" outlineLevel="0" collapsed="false">
      <c r="A5" s="12" t="s">
        <v>33</v>
      </c>
      <c r="B5" s="12" t="s">
        <v>34</v>
      </c>
      <c r="C5" s="12" t="s">
        <v>35</v>
      </c>
      <c r="D5" s="12"/>
      <c r="E5" s="12"/>
      <c r="F5" s="12"/>
      <c r="G5" s="12" t="s">
        <v>36</v>
      </c>
      <c r="H5" s="12" t="s">
        <v>37</v>
      </c>
      <c r="I5" s="12" t="s">
        <v>38</v>
      </c>
      <c r="J5" s="13" t="s">
        <v>4</v>
      </c>
      <c r="K5" s="13"/>
      <c r="L5" s="13"/>
      <c r="M5" s="13"/>
      <c r="N5" s="13"/>
      <c r="O5" s="13"/>
    </row>
    <row r="6" customFormat="false" ht="23.85" hidden="false" customHeight="false" outlineLevel="0" collapsed="false">
      <c r="A6" s="12" t="s">
        <v>39</v>
      </c>
      <c r="B6" s="12" t="s">
        <v>34</v>
      </c>
      <c r="C6" s="12" t="s">
        <v>40</v>
      </c>
      <c r="D6" s="12"/>
      <c r="E6" s="12"/>
      <c r="F6" s="12"/>
      <c r="G6" s="12" t="s">
        <v>36</v>
      </c>
      <c r="H6" s="12" t="s">
        <v>41</v>
      </c>
      <c r="I6" s="12" t="s">
        <v>38</v>
      </c>
      <c r="J6" s="13" t="s">
        <v>4</v>
      </c>
      <c r="K6" s="13"/>
      <c r="L6" s="13"/>
      <c r="M6" s="13"/>
      <c r="N6" s="13"/>
      <c r="O6" s="13"/>
    </row>
    <row r="7" customFormat="false" ht="23.85" hidden="false" customHeight="false" outlineLevel="0" collapsed="false">
      <c r="A7" s="12" t="s">
        <v>42</v>
      </c>
      <c r="B7" s="12" t="s">
        <v>43</v>
      </c>
      <c r="C7" s="12" t="s">
        <v>44</v>
      </c>
      <c r="D7" s="12"/>
      <c r="E7" s="12"/>
      <c r="F7" s="12"/>
      <c r="G7" s="12" t="s">
        <v>45</v>
      </c>
      <c r="H7" s="12" t="s">
        <v>46</v>
      </c>
      <c r="I7" s="12" t="s">
        <v>38</v>
      </c>
      <c r="J7" s="13" t="s">
        <v>4</v>
      </c>
      <c r="K7" s="13"/>
      <c r="L7" s="13"/>
      <c r="M7" s="13"/>
      <c r="N7" s="13"/>
      <c r="O7" s="13"/>
    </row>
    <row r="8" customFormat="false" ht="23.85" hidden="false" customHeight="false" outlineLevel="0" collapsed="false">
      <c r="A8" s="12" t="s">
        <v>47</v>
      </c>
      <c r="B8" s="12" t="s">
        <v>34</v>
      </c>
      <c r="C8" s="12" t="s">
        <v>48</v>
      </c>
      <c r="D8" s="12"/>
      <c r="E8" s="12"/>
      <c r="F8" s="12"/>
      <c r="G8" s="12" t="s">
        <v>45</v>
      </c>
      <c r="H8" s="12" t="s">
        <v>49</v>
      </c>
      <c r="I8" s="12" t="s">
        <v>38</v>
      </c>
      <c r="J8" s="13" t="s">
        <v>4</v>
      </c>
      <c r="K8" s="13"/>
      <c r="L8" s="13"/>
      <c r="M8" s="13"/>
      <c r="N8" s="13"/>
      <c r="O8" s="13"/>
    </row>
    <row r="9" customFormat="false" ht="35.05" hidden="false" customHeight="false" outlineLevel="0" collapsed="false">
      <c r="A9" s="12" t="s">
        <v>50</v>
      </c>
      <c r="B9" s="12" t="s">
        <v>51</v>
      </c>
      <c r="C9" s="12" t="s">
        <v>52</v>
      </c>
      <c r="D9" s="12"/>
      <c r="E9" s="12"/>
      <c r="F9" s="12"/>
      <c r="G9" s="12" t="s">
        <v>53</v>
      </c>
      <c r="H9" s="12" t="s">
        <v>54</v>
      </c>
      <c r="I9" s="12" t="s">
        <v>38</v>
      </c>
      <c r="J9" s="13" t="s">
        <v>4</v>
      </c>
      <c r="K9" s="13"/>
      <c r="L9" s="13"/>
      <c r="M9" s="13"/>
      <c r="N9" s="13"/>
      <c r="O9" s="13"/>
    </row>
    <row r="10" customFormat="false" ht="23.85" hidden="false" customHeight="false" outlineLevel="0" collapsed="false">
      <c r="A10" s="12" t="s">
        <v>55</v>
      </c>
      <c r="B10" s="12" t="s">
        <v>34</v>
      </c>
      <c r="C10" s="12" t="s">
        <v>56</v>
      </c>
      <c r="D10" s="12"/>
      <c r="E10" s="12"/>
      <c r="F10" s="12"/>
      <c r="G10" s="12" t="s">
        <v>53</v>
      </c>
      <c r="H10" s="12" t="s">
        <v>57</v>
      </c>
      <c r="I10" s="12" t="s">
        <v>38</v>
      </c>
      <c r="J10" s="13" t="s">
        <v>4</v>
      </c>
      <c r="K10" s="13"/>
      <c r="L10" s="13"/>
      <c r="M10" s="13"/>
      <c r="N10" s="13"/>
      <c r="O10" s="13"/>
    </row>
    <row r="11" customFormat="false" ht="35.05" hidden="false" customHeight="false" outlineLevel="0" collapsed="false">
      <c r="A11" s="12" t="s">
        <v>58</v>
      </c>
      <c r="B11" s="12" t="s">
        <v>34</v>
      </c>
      <c r="C11" s="12" t="s">
        <v>59</v>
      </c>
      <c r="D11" s="12"/>
      <c r="E11" s="12"/>
      <c r="F11" s="12"/>
      <c r="G11" s="12" t="s">
        <v>53</v>
      </c>
      <c r="H11" s="12" t="s">
        <v>60</v>
      </c>
      <c r="I11" s="12" t="s">
        <v>38</v>
      </c>
      <c r="J11" s="13" t="s">
        <v>4</v>
      </c>
      <c r="K11" s="13"/>
      <c r="L11" s="13"/>
      <c r="M11" s="13"/>
      <c r="N11" s="13"/>
      <c r="O11" s="13"/>
    </row>
    <row r="12" customFormat="false" ht="35.05" hidden="false" customHeight="false" outlineLevel="0" collapsed="false">
      <c r="A12" s="12" t="s">
        <v>61</v>
      </c>
      <c r="B12" s="12" t="s">
        <v>62</v>
      </c>
      <c r="C12" s="12"/>
      <c r="D12" s="12"/>
      <c r="E12" s="12"/>
      <c r="F12" s="12" t="s">
        <v>63</v>
      </c>
      <c r="G12" s="12" t="s">
        <v>36</v>
      </c>
      <c r="H12" s="12" t="s">
        <v>64</v>
      </c>
      <c r="I12" s="12" t="s">
        <v>38</v>
      </c>
      <c r="J12" s="13" t="s">
        <v>4</v>
      </c>
      <c r="K12" s="13"/>
      <c r="L12" s="13"/>
      <c r="M12" s="13"/>
      <c r="N12" s="13"/>
      <c r="O12" s="13"/>
    </row>
    <row r="13" customFormat="false" ht="35.05" hidden="false" customHeight="false" outlineLevel="0" collapsed="false">
      <c r="A13" s="12" t="s">
        <v>65</v>
      </c>
      <c r="B13" s="12" t="s">
        <v>62</v>
      </c>
      <c r="C13" s="12"/>
      <c r="D13" s="12"/>
      <c r="E13" s="12"/>
      <c r="F13" s="12" t="s">
        <v>66</v>
      </c>
      <c r="G13" s="12" t="s">
        <v>36</v>
      </c>
      <c r="H13" s="12" t="s">
        <v>67</v>
      </c>
      <c r="I13" s="12" t="s">
        <v>38</v>
      </c>
      <c r="J13" s="13" t="s">
        <v>4</v>
      </c>
      <c r="K13" s="13"/>
      <c r="L13" s="13"/>
      <c r="M13" s="13"/>
      <c r="N13" s="13"/>
      <c r="O13" s="13"/>
    </row>
    <row r="14" customFormat="false" ht="35.05" hidden="false" customHeight="false" outlineLevel="0" collapsed="false">
      <c r="A14" s="12" t="s">
        <v>68</v>
      </c>
      <c r="B14" s="12" t="s">
        <v>62</v>
      </c>
      <c r="C14" s="12"/>
      <c r="D14" s="12"/>
      <c r="E14" s="12"/>
      <c r="F14" s="12"/>
      <c r="G14" s="12" t="s">
        <v>45</v>
      </c>
      <c r="H14" s="12" t="s">
        <v>69</v>
      </c>
      <c r="I14" s="12" t="s">
        <v>38</v>
      </c>
      <c r="J14" s="13" t="s">
        <v>4</v>
      </c>
      <c r="K14" s="13"/>
      <c r="L14" s="13"/>
      <c r="M14" s="13"/>
      <c r="N14" s="13"/>
      <c r="O14" s="13"/>
    </row>
    <row r="15" customFormat="false" ht="35.05" hidden="false" customHeight="false" outlineLevel="0" collapsed="false">
      <c r="A15" s="12" t="s">
        <v>70</v>
      </c>
      <c r="B15" s="12" t="s">
        <v>62</v>
      </c>
      <c r="C15" s="12"/>
      <c r="D15" s="12"/>
      <c r="E15" s="12"/>
      <c r="F15" s="12"/>
      <c r="G15" s="12" t="s">
        <v>45</v>
      </c>
      <c r="H15" s="12" t="s">
        <v>71</v>
      </c>
      <c r="I15" s="12" t="s">
        <v>38</v>
      </c>
      <c r="J15" s="13" t="s">
        <v>4</v>
      </c>
      <c r="K15" s="13"/>
      <c r="L15" s="13"/>
      <c r="M15" s="13"/>
      <c r="N15" s="13"/>
      <c r="O15" s="13"/>
    </row>
    <row r="16" customFormat="false" ht="35.05" hidden="false" customHeight="false" outlineLevel="0" collapsed="false">
      <c r="A16" s="12" t="s">
        <v>72</v>
      </c>
      <c r="B16" s="12" t="s">
        <v>62</v>
      </c>
      <c r="C16" s="12"/>
      <c r="D16" s="12"/>
      <c r="E16" s="12"/>
      <c r="F16" s="12"/>
      <c r="G16" s="12" t="s">
        <v>45</v>
      </c>
      <c r="H16" s="12" t="s">
        <v>73</v>
      </c>
      <c r="I16" s="12" t="s">
        <v>38</v>
      </c>
      <c r="J16" s="13" t="s">
        <v>4</v>
      </c>
      <c r="K16" s="13"/>
      <c r="L16" s="13"/>
      <c r="M16" s="13"/>
      <c r="N16" s="13"/>
      <c r="O16" s="13"/>
    </row>
    <row r="17" customFormat="false" ht="23.85" hidden="false" customHeight="false" outlineLevel="0" collapsed="false">
      <c r="A17" s="12" t="s">
        <v>74</v>
      </c>
      <c r="B17" s="12" t="s">
        <v>62</v>
      </c>
      <c r="C17" s="12"/>
      <c r="D17" s="12"/>
      <c r="E17" s="12"/>
      <c r="F17" s="12"/>
      <c r="G17" s="12" t="s">
        <v>45</v>
      </c>
      <c r="H17" s="12" t="s">
        <v>75</v>
      </c>
      <c r="I17" s="12" t="s">
        <v>38</v>
      </c>
      <c r="J17" s="13" t="s">
        <v>4</v>
      </c>
      <c r="K17" s="13"/>
      <c r="L17" s="13"/>
      <c r="M17" s="13"/>
      <c r="N17" s="13"/>
      <c r="O17" s="13"/>
    </row>
    <row r="18" customFormat="false" ht="23.85" hidden="false" customHeight="false" outlineLevel="0" collapsed="false">
      <c r="A18" s="12" t="s">
        <v>76</v>
      </c>
      <c r="B18" s="12" t="s">
        <v>62</v>
      </c>
      <c r="C18" s="12"/>
      <c r="D18" s="12"/>
      <c r="E18" s="12"/>
      <c r="F18" s="12"/>
      <c r="G18" s="12" t="s">
        <v>53</v>
      </c>
      <c r="H18" s="12" t="s">
        <v>77</v>
      </c>
      <c r="I18" s="12" t="s">
        <v>38</v>
      </c>
      <c r="J18" s="13" t="s">
        <v>4</v>
      </c>
      <c r="K18" s="13"/>
      <c r="L18" s="13"/>
      <c r="M18" s="13"/>
      <c r="N18" s="13"/>
      <c r="O18" s="13"/>
    </row>
    <row r="19" customFormat="false" ht="35.05" hidden="false" customHeight="false" outlineLevel="0" collapsed="false">
      <c r="A19" s="12" t="s">
        <v>78</v>
      </c>
      <c r="B19" s="12" t="s">
        <v>62</v>
      </c>
      <c r="C19" s="12"/>
      <c r="D19" s="12"/>
      <c r="E19" s="12"/>
      <c r="F19" s="12"/>
      <c r="G19" s="12" t="s">
        <v>53</v>
      </c>
      <c r="H19" s="12" t="s">
        <v>79</v>
      </c>
      <c r="I19" s="12" t="s">
        <v>38</v>
      </c>
      <c r="J19" s="13" t="s">
        <v>4</v>
      </c>
      <c r="K19" s="13"/>
      <c r="L19" s="13"/>
      <c r="M19" s="13"/>
      <c r="N19" s="13"/>
      <c r="O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</sheetData>
  <mergeCells count="2">
    <mergeCell ref="A1:O1"/>
    <mergeCell ref="A2:O3"/>
  </mergeCells>
  <dataValidations count="3">
    <dataValidation allowBlank="true" errorStyle="stop" operator="between" showDropDown="false" showErrorMessage="false" showInputMessage="false" sqref="J5:J200" type="list">
      <formula1>"Not Contacted,Contacted,Meeting Booked,Meeting Complete,Design Partner,Declined"</formula1>
      <formula2>0</formula2>
    </dataValidation>
    <dataValidation allowBlank="true" errorStyle="stop" operator="between" showDropDown="false" showErrorMessage="false" showInputMessage="false" sqref="G5:G200" type="list">
      <formula1>"High,Medium,Stretch"</formula1>
      <formula2>0</formula2>
    </dataValidation>
    <dataValidation allowBlank="true" error="Enter a whole number from 1 to 5." errorStyle="stop" errorTitle="Invalid entry" operator="between" showDropDown="false" showErrorMessage="false" showInputMessage="false" sqref="L5:L2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2026-09-18T19:05:52Z</dcterms:created>
  <dc:creator>openpyxl</dc:creator>
  <dc:description/>
  <dc:language>en-US</dc:language>
  <cp:lastModifiedBy/>
  <dcterms:modified xsi:type="dcterms:W3CDTF">2026-09-18T19:05:53Z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